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13_ncr:1_{49F6EC35-A412-4445-9B2A-F8CCEED68C45}" xr6:coauthVersionLast="36" xr6:coauthVersionMax="36" xr10:uidLastSave="{00000000-0000-0000-0000-000000000000}"/>
  <bookViews>
    <workbookView xWindow="0" yWindow="0" windowWidth="19200" windowHeight="6930" xr2:uid="{D216C9F0-6E7B-4901-8727-12918E53669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6" i="1" l="1"/>
  <c r="E87" i="1"/>
  <c r="E88" i="1"/>
  <c r="E89" i="1"/>
  <c r="E90" i="1"/>
  <c r="E91" i="1"/>
  <c r="E92" i="1"/>
  <c r="E93" i="1"/>
  <c r="E94" i="1"/>
  <c r="E85" i="1"/>
  <c r="D79" i="1"/>
  <c r="D95" i="1"/>
  <c r="D97" i="1" s="1"/>
  <c r="D78" i="1"/>
  <c r="D80" i="1" s="1"/>
  <c r="D55" i="1"/>
  <c r="D57" i="1" s="1"/>
  <c r="D38" i="1"/>
  <c r="E31" i="1" s="1"/>
  <c r="H15" i="1"/>
  <c r="I4" i="1" s="1"/>
  <c r="J15" i="1"/>
  <c r="K12" i="1" s="1"/>
  <c r="F15" i="1"/>
  <c r="G8" i="1" s="1"/>
  <c r="D15" i="1"/>
  <c r="D17" i="1" s="1"/>
  <c r="D96" i="1" l="1"/>
  <c r="E65" i="1"/>
  <c r="E73" i="1"/>
  <c r="E72" i="1"/>
  <c r="E64" i="1"/>
  <c r="E69" i="1"/>
  <c r="E76" i="1"/>
  <c r="E68" i="1"/>
  <c r="E75" i="1"/>
  <c r="E67" i="1"/>
  <c r="E74" i="1"/>
  <c r="E66" i="1"/>
  <c r="E62" i="1"/>
  <c r="E71" i="1"/>
  <c r="E63" i="1"/>
  <c r="E70" i="1"/>
  <c r="E77" i="1"/>
  <c r="E4" i="1"/>
  <c r="E45" i="1"/>
  <c r="E47" i="1"/>
  <c r="E54" i="1"/>
  <c r="E46" i="1"/>
  <c r="E53" i="1"/>
  <c r="E52" i="1"/>
  <c r="E51" i="1"/>
  <c r="E50" i="1"/>
  <c r="E49" i="1"/>
  <c r="E48" i="1"/>
  <c r="D40" i="1"/>
  <c r="E36" i="1"/>
  <c r="E35" i="1"/>
  <c r="E34" i="1"/>
  <c r="E33" i="1"/>
  <c r="E32" i="1"/>
  <c r="E26" i="1"/>
  <c r="E6" i="1"/>
  <c r="I7" i="1"/>
  <c r="G4" i="1"/>
  <c r="I6" i="1"/>
  <c r="I8" i="1"/>
  <c r="G7" i="1"/>
  <c r="E12" i="1"/>
  <c r="G6" i="1"/>
  <c r="K10" i="1"/>
  <c r="E9" i="1"/>
  <c r="I11" i="1"/>
  <c r="E5" i="1"/>
  <c r="E13" i="1"/>
  <c r="K11" i="1"/>
  <c r="E11" i="1"/>
  <c r="G5" i="1"/>
  <c r="K9" i="1"/>
  <c r="E8" i="1"/>
  <c r="I9" i="1"/>
  <c r="G12" i="1"/>
  <c r="G13" i="1"/>
  <c r="K8" i="1"/>
  <c r="E10" i="1"/>
  <c r="G11" i="1"/>
  <c r="I13" i="1"/>
  <c r="I5" i="1"/>
  <c r="K7" i="1"/>
  <c r="F17" i="1"/>
  <c r="G10" i="1"/>
  <c r="I12" i="1"/>
  <c r="K4" i="1"/>
  <c r="K6" i="1"/>
  <c r="H17" i="1"/>
  <c r="G9" i="1"/>
  <c r="K13" i="1"/>
  <c r="K5" i="1"/>
  <c r="J17" i="1"/>
  <c r="E7" i="1"/>
  <c r="I10" i="1"/>
  <c r="E24" i="1"/>
  <c r="E23" i="1"/>
  <c r="E25" i="1"/>
  <c r="E21" i="1"/>
  <c r="E22" i="1"/>
  <c r="E30" i="1"/>
  <c r="E27" i="1"/>
  <c r="E29" i="1"/>
  <c r="E28" i="1"/>
  <c r="D56" i="1" l="1"/>
  <c r="D39" i="1"/>
  <c r="D16" i="1"/>
  <c r="F16" i="1"/>
  <c r="H16" i="1"/>
  <c r="J16" i="1"/>
</calcChain>
</file>

<file path=xl/sharedStrings.xml><?xml version="1.0" encoding="utf-8"?>
<sst xmlns="http://schemas.openxmlformats.org/spreadsheetml/2006/main" count="47" uniqueCount="16">
  <si>
    <t>5 oscillazioni</t>
  </si>
  <si>
    <t>7 oscillazioni</t>
  </si>
  <si>
    <t>9 oscillazioni</t>
  </si>
  <si>
    <t>10 oscillazioni</t>
  </si>
  <si>
    <t>Media</t>
  </si>
  <si>
    <t>Deviazione</t>
  </si>
  <si>
    <t>1 oscillazione</t>
  </si>
  <si>
    <t>x</t>
  </si>
  <si>
    <t>(x-M)^2</t>
  </si>
  <si>
    <t>SFERA</t>
  </si>
  <si>
    <t>Media=9.41</t>
  </si>
  <si>
    <t>Deviazione=0.0126</t>
  </si>
  <si>
    <t>1 oscillazione=1.344</t>
  </si>
  <si>
    <t>SUPPORTO</t>
  </si>
  <si>
    <t>DISCO</t>
  </si>
  <si>
    <t>CILINDRO PIENO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</si>
</sst>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D9EF-C23D-414D-88A3-56CAB4B17014}">
  <dimension ref="A2:K97"/>
  <sheetViews>
    <sheetView tabSelected="1" topLeftCell="A78" workbookViewId="0">
      <selection activeCell="G86" sqref="G86"/>
    </sheetView>
  </sheetViews>
  <sheetFormatPr defaultRowHeight="14.5" x14ac:dyDescent="0.35"/>
  <cols>
    <col min="1" max="1" width="11.453125" customWidth="1"/>
    <col min="3" max="3" width="17.81640625" customWidth="1"/>
    <col min="4" max="5" width="12.1796875" customWidth="1"/>
    <col min="6" max="7" width="11.453125" customWidth="1"/>
    <col min="8" max="9" width="11.36328125" customWidth="1"/>
    <col min="10" max="10" width="12.54296875" customWidth="1"/>
    <col min="11" max="11" width="9.26953125" bestFit="1" customWidth="1"/>
  </cols>
  <sheetData>
    <row r="2" spans="1:11" x14ac:dyDescent="0.35">
      <c r="D2" s="4" t="s">
        <v>0</v>
      </c>
      <c r="E2" s="4"/>
      <c r="F2" s="4" t="s">
        <v>1</v>
      </c>
      <c r="G2" s="4"/>
      <c r="H2" s="4" t="s">
        <v>2</v>
      </c>
      <c r="I2" s="4"/>
      <c r="J2" s="4" t="s">
        <v>3</v>
      </c>
      <c r="K2" s="4"/>
    </row>
    <row r="3" spans="1:11" x14ac:dyDescent="0.35">
      <c r="D3" s="1" t="s">
        <v>7</v>
      </c>
      <c r="E3" s="1" t="s">
        <v>8</v>
      </c>
      <c r="F3" s="1" t="s">
        <v>7</v>
      </c>
      <c r="G3" s="1" t="s">
        <v>8</v>
      </c>
      <c r="H3" s="1" t="s">
        <v>7</v>
      </c>
      <c r="I3" s="1" t="s">
        <v>8</v>
      </c>
      <c r="J3" s="1" t="s">
        <v>7</v>
      </c>
      <c r="K3" s="1" t="s">
        <v>8</v>
      </c>
    </row>
    <row r="4" spans="1:11" x14ac:dyDescent="0.35">
      <c r="A4" s="10" t="s">
        <v>9</v>
      </c>
      <c r="B4" s="13"/>
      <c r="D4" s="3">
        <v>7.01</v>
      </c>
      <c r="E4" s="6">
        <f>(D4-$D$15)^2</f>
        <v>7.7440000000000139E-3</v>
      </c>
      <c r="F4" s="3">
        <v>9.6</v>
      </c>
      <c r="G4" s="6">
        <f>(F4-$F$15)^2</f>
        <v>6.7239999999998299E-3</v>
      </c>
      <c r="H4" s="3">
        <v>12.49</v>
      </c>
      <c r="I4" s="6">
        <f>(H4-$H$15)^2</f>
        <v>3.0250000000001643E-3</v>
      </c>
      <c r="J4" s="3">
        <v>13.76</v>
      </c>
      <c r="K4" s="6">
        <f>(J4-$J$15)^2</f>
        <v>1.299599999999977E-2</v>
      </c>
    </row>
    <row r="5" spans="1:11" x14ac:dyDescent="0.35">
      <c r="A5" s="10"/>
      <c r="B5" s="13"/>
      <c r="D5" s="3">
        <v>6.81</v>
      </c>
      <c r="E5" s="6">
        <f>(D5-$D$15)^2</f>
        <v>1.2544000000000022E-2</v>
      </c>
      <c r="F5" s="3">
        <v>9.77</v>
      </c>
      <c r="G5" s="6">
        <f>(F5-$F$15)^2</f>
        <v>7.74400000000017E-3</v>
      </c>
      <c r="H5" s="3">
        <v>12.41</v>
      </c>
      <c r="I5" s="6">
        <f t="shared" ref="I5:I13" si="0">(H5-$H$15)^2</f>
        <v>6.24999999999929E-4</v>
      </c>
      <c r="J5" s="3">
        <v>13.96</v>
      </c>
      <c r="K5" s="6">
        <f t="shared" ref="K5:K13" si="1">(J5-$J$15)^2</f>
        <v>7.3960000000003571E-3</v>
      </c>
    </row>
    <row r="6" spans="1:11" x14ac:dyDescent="0.35">
      <c r="A6" s="10"/>
      <c r="B6" s="13"/>
      <c r="D6" s="3">
        <v>6.9</v>
      </c>
      <c r="E6" s="6">
        <f>(D6-$D$15)^2</f>
        <v>4.8399999999997154E-4</v>
      </c>
      <c r="F6" s="3">
        <v>9.6999999999999993</v>
      </c>
      <c r="G6" s="6">
        <f>(F6-$F$15)^2</f>
        <v>3.2400000000002457E-4</v>
      </c>
      <c r="H6" s="3">
        <v>12.43</v>
      </c>
      <c r="I6" s="6">
        <f t="shared" si="0"/>
        <v>2.4999999999990054E-5</v>
      </c>
      <c r="J6" s="3">
        <v>13.98</v>
      </c>
      <c r="K6" s="6">
        <f t="shared" si="1"/>
        <v>1.123600000000035E-2</v>
      </c>
    </row>
    <row r="7" spans="1:11" x14ac:dyDescent="0.35">
      <c r="A7" s="10"/>
      <c r="B7" s="13"/>
      <c r="D7" s="3">
        <v>6.88</v>
      </c>
      <c r="E7" s="6">
        <f>(D7-$D$15)^2</f>
        <v>1.7639999999999845E-3</v>
      </c>
      <c r="F7" s="3">
        <v>9.69</v>
      </c>
      <c r="G7" s="6">
        <f>(F7-$F$15)^2</f>
        <v>6.4000000000014322E-5</v>
      </c>
      <c r="H7" s="3">
        <v>12.43</v>
      </c>
      <c r="I7" s="6">
        <f t="shared" si="0"/>
        <v>2.4999999999990054E-5</v>
      </c>
      <c r="J7" s="3">
        <v>13.81</v>
      </c>
      <c r="K7" s="6">
        <f t="shared" si="1"/>
        <v>4.0959999999997795E-3</v>
      </c>
    </row>
    <row r="8" spans="1:11" x14ac:dyDescent="0.35">
      <c r="A8" s="10"/>
      <c r="B8" s="13"/>
      <c r="D8" s="3">
        <v>6.95</v>
      </c>
      <c r="E8" s="6">
        <f>(D8-$D$15)^2</f>
        <v>7.8400000000002621E-4</v>
      </c>
      <c r="F8" s="3">
        <v>9.7200000000000006</v>
      </c>
      <c r="G8" s="6">
        <f>(F8-$F$15)^2</f>
        <v>1.4440000000001544E-3</v>
      </c>
      <c r="H8" s="3">
        <v>12.43</v>
      </c>
      <c r="I8" s="6">
        <f t="shared" si="0"/>
        <v>2.4999999999990054E-5</v>
      </c>
      <c r="J8" s="3">
        <v>13.93</v>
      </c>
      <c r="K8" s="6">
        <f t="shared" si="1"/>
        <v>3.1360000000001048E-3</v>
      </c>
    </row>
    <row r="9" spans="1:11" x14ac:dyDescent="0.35">
      <c r="A9" s="10"/>
      <c r="B9" s="13"/>
      <c r="D9" s="3">
        <v>6.91</v>
      </c>
      <c r="E9" s="6">
        <f>(D9-$D$15)^2</f>
        <v>1.439999999999896E-4</v>
      </c>
      <c r="F9" s="3">
        <v>9.61</v>
      </c>
      <c r="G9" s="6">
        <f>(F9-$F$15)^2</f>
        <v>5.1839999999998814E-3</v>
      </c>
      <c r="H9" s="3">
        <v>12.41</v>
      </c>
      <c r="I9" s="6">
        <f t="shared" si="0"/>
        <v>6.24999999999929E-4</v>
      </c>
      <c r="J9" s="3">
        <v>13.92</v>
      </c>
      <c r="K9" s="6">
        <f t="shared" si="1"/>
        <v>2.1160000000001061E-3</v>
      </c>
    </row>
    <row r="10" spans="1:11" x14ac:dyDescent="0.35">
      <c r="A10" s="10"/>
      <c r="B10" s="13"/>
      <c r="D10" s="3">
        <v>6.92</v>
      </c>
      <c r="E10" s="6">
        <f>(D10-$D$15)^2</f>
        <v>3.9999999999991189E-6</v>
      </c>
      <c r="F10" s="3">
        <v>9.6999999999999993</v>
      </c>
      <c r="G10" s="6">
        <f>(F10-$F$15)^2</f>
        <v>3.2400000000002457E-4</v>
      </c>
      <c r="H10" s="3">
        <v>12.46</v>
      </c>
      <c r="I10" s="6">
        <f t="shared" si="0"/>
        <v>6.2500000000010659E-4</v>
      </c>
      <c r="J10" s="3">
        <v>13.8</v>
      </c>
      <c r="K10" s="6">
        <f t="shared" si="1"/>
        <v>5.4759999999997137E-3</v>
      </c>
    </row>
    <row r="11" spans="1:11" x14ac:dyDescent="0.35">
      <c r="A11" s="10"/>
      <c r="B11" s="13"/>
      <c r="D11" s="3">
        <v>6.93</v>
      </c>
      <c r="E11" s="6">
        <f>(D11-$D$15)^2</f>
        <v>6.4000000000000119E-5</v>
      </c>
      <c r="F11" s="3">
        <v>9.64</v>
      </c>
      <c r="G11" s="6">
        <f>(F11-$F$15)^2</f>
        <v>1.7639999999998354E-3</v>
      </c>
      <c r="H11" s="3">
        <v>12.53</v>
      </c>
      <c r="I11" s="6">
        <f t="shared" si="0"/>
        <v>9.0250000000001215E-3</v>
      </c>
      <c r="J11" s="3">
        <v>13.89</v>
      </c>
      <c r="K11" s="6">
        <f t="shared" si="1"/>
        <v>2.5600000000005729E-4</v>
      </c>
    </row>
    <row r="12" spans="1:11" x14ac:dyDescent="0.35">
      <c r="A12" s="10"/>
      <c r="B12" s="13"/>
      <c r="D12" s="3">
        <v>6.99</v>
      </c>
      <c r="E12" s="6">
        <f>(D12-$D$15)^2</f>
        <v>4.624000000000069E-3</v>
      </c>
      <c r="F12" s="3">
        <v>9.6999999999999993</v>
      </c>
      <c r="G12" s="6">
        <f>(F12-$F$15)^2</f>
        <v>3.2400000000002457E-4</v>
      </c>
      <c r="H12" s="3">
        <v>12.33</v>
      </c>
      <c r="I12" s="6">
        <f t="shared" si="0"/>
        <v>1.1024999999999717E-2</v>
      </c>
      <c r="J12" s="3">
        <v>13.88</v>
      </c>
      <c r="K12" s="6">
        <f t="shared" si="1"/>
        <v>3.6000000000024043E-5</v>
      </c>
    </row>
    <row r="13" spans="1:11" x14ac:dyDescent="0.35">
      <c r="A13" s="10"/>
      <c r="B13" s="13"/>
      <c r="D13" s="3">
        <v>6.92</v>
      </c>
      <c r="E13" s="6">
        <f>(D13-$D$15)^2</f>
        <v>3.9999999999991189E-6</v>
      </c>
      <c r="F13" s="3">
        <v>9.69</v>
      </c>
      <c r="G13" s="6">
        <f>(F13-$F$15)^2</f>
        <v>6.4000000000014322E-5</v>
      </c>
      <c r="H13" s="3">
        <v>12.43</v>
      </c>
      <c r="I13" s="6">
        <f t="shared" si="0"/>
        <v>2.4999999999990054E-5</v>
      </c>
      <c r="J13" s="3">
        <v>13.81</v>
      </c>
      <c r="K13" s="6">
        <f t="shared" si="1"/>
        <v>4.0959999999997795E-3</v>
      </c>
    </row>
    <row r="14" spans="1:11" x14ac:dyDescent="0.35">
      <c r="A14" s="10"/>
      <c r="B14" s="13"/>
      <c r="D14" s="3"/>
      <c r="E14" s="6"/>
      <c r="F14" s="3"/>
      <c r="G14" s="6"/>
      <c r="H14" s="3"/>
      <c r="I14" s="3"/>
      <c r="J14" s="3"/>
    </row>
    <row r="15" spans="1:11" x14ac:dyDescent="0.35">
      <c r="A15" s="10"/>
      <c r="B15" s="13"/>
      <c r="C15" t="s">
        <v>4</v>
      </c>
      <c r="D15" s="3">
        <f>AVERAGE(D4:D13)</f>
        <v>6.9219999999999997</v>
      </c>
      <c r="E15" s="6"/>
      <c r="F15" s="8">
        <f>AVERAGE(F4:F13)</f>
        <v>9.6819999999999986</v>
      </c>
      <c r="G15" s="3"/>
      <c r="H15" s="3">
        <f t="shared" ref="H15:J15" si="2">AVERAGE(H4:H13)</f>
        <v>12.434999999999999</v>
      </c>
      <c r="I15" s="3"/>
      <c r="J15" s="3">
        <f t="shared" si="2"/>
        <v>13.873999999999999</v>
      </c>
    </row>
    <row r="16" spans="1:11" x14ac:dyDescent="0.35">
      <c r="A16" s="10"/>
      <c r="B16" s="13"/>
      <c r="C16" t="s">
        <v>5</v>
      </c>
      <c r="D16" s="5">
        <f>SQRT(AVERAGE(E4:E13)/10)</f>
        <v>1.6780941570722449E-2</v>
      </c>
      <c r="E16" s="5"/>
      <c r="F16" s="9">
        <f>SQRT(AVERAGE(G4:G13)/10)</f>
        <v>1.5479018056711471E-2</v>
      </c>
      <c r="G16" s="5"/>
      <c r="H16" s="5">
        <f>SQRT(AVERAGE(I4:I13)/10)</f>
        <v>1.582719179134439E-2</v>
      </c>
      <c r="I16" s="5"/>
      <c r="J16" s="5">
        <f>SQRT(AVERAGE(K4:K13)/10)</f>
        <v>2.2547727158186041E-2</v>
      </c>
    </row>
    <row r="17" spans="1:10" x14ac:dyDescent="0.35">
      <c r="A17" s="10"/>
      <c r="B17" s="13"/>
      <c r="C17" t="s">
        <v>6</v>
      </c>
      <c r="D17" s="2">
        <f>D15/5</f>
        <v>1.3843999999999999</v>
      </c>
      <c r="E17" s="2"/>
      <c r="F17" s="7">
        <f>F15/7</f>
        <v>1.383142857142857</v>
      </c>
      <c r="G17" s="2"/>
      <c r="H17" s="2">
        <f>H15/9</f>
        <v>1.3816666666666666</v>
      </c>
      <c r="I17" s="2"/>
      <c r="J17" s="2">
        <f>J15/10</f>
        <v>1.3874</v>
      </c>
    </row>
    <row r="18" spans="1:10" x14ac:dyDescent="0.35">
      <c r="B18" s="11"/>
      <c r="D18" s="2"/>
      <c r="E18" s="2"/>
      <c r="F18" s="12"/>
      <c r="G18" s="2"/>
      <c r="H18" s="2"/>
      <c r="I18" s="2"/>
      <c r="J18" s="2"/>
    </row>
    <row r="19" spans="1:10" x14ac:dyDescent="0.35">
      <c r="A19" s="10" t="s">
        <v>14</v>
      </c>
      <c r="D19" s="4" t="s">
        <v>1</v>
      </c>
      <c r="E19" s="4"/>
    </row>
    <row r="20" spans="1:10" x14ac:dyDescent="0.35">
      <c r="A20" s="10"/>
      <c r="D20" s="1" t="s">
        <v>7</v>
      </c>
      <c r="E20" s="1" t="s">
        <v>8</v>
      </c>
    </row>
    <row r="21" spans="1:10" x14ac:dyDescent="0.35">
      <c r="A21" s="10"/>
      <c r="D21" s="3">
        <v>9.4600000000000009</v>
      </c>
      <c r="E21" s="6">
        <f>(D21-$D$38)^2</f>
        <v>1.5503906250001174E-3</v>
      </c>
    </row>
    <row r="22" spans="1:10" x14ac:dyDescent="0.35">
      <c r="A22" s="10"/>
      <c r="D22" s="3">
        <v>9.42</v>
      </c>
      <c r="E22" s="6">
        <f>(D22-$D$38)^2</f>
        <v>3.9062499999928946E-7</v>
      </c>
    </row>
    <row r="23" spans="1:10" x14ac:dyDescent="0.35">
      <c r="A23" s="10"/>
      <c r="D23" s="3">
        <v>9.4700000000000006</v>
      </c>
      <c r="E23" s="6">
        <f>(D23-$D$38)^2</f>
        <v>2.4378906250001262E-3</v>
      </c>
    </row>
    <row r="24" spans="1:10" x14ac:dyDescent="0.35">
      <c r="A24" s="10"/>
      <c r="D24" s="3">
        <v>9.39</v>
      </c>
      <c r="E24" s="6">
        <f>(D24-$D$38)^2</f>
        <v>9.3789062499992598E-4</v>
      </c>
    </row>
    <row r="25" spans="1:10" x14ac:dyDescent="0.35">
      <c r="A25" s="10"/>
      <c r="D25" s="3">
        <v>9.39</v>
      </c>
      <c r="E25" s="6">
        <f>(D25-$D$38)^2</f>
        <v>9.3789062499992598E-4</v>
      </c>
    </row>
    <row r="26" spans="1:10" x14ac:dyDescent="0.35">
      <c r="A26" s="10"/>
      <c r="D26" s="3">
        <v>9.42</v>
      </c>
      <c r="E26" s="6">
        <f>(D26-$D$38)^2</f>
        <v>3.9062499999928946E-7</v>
      </c>
    </row>
    <row r="27" spans="1:10" x14ac:dyDescent="0.35">
      <c r="A27" s="10"/>
      <c r="D27" s="3">
        <v>9.4</v>
      </c>
      <c r="E27" s="6">
        <f>(D27-$D$38)^2</f>
        <v>4.2539062499995895E-4</v>
      </c>
    </row>
    <row r="28" spans="1:10" x14ac:dyDescent="0.35">
      <c r="A28" s="10"/>
      <c r="D28" s="3">
        <v>9.35</v>
      </c>
      <c r="E28" s="6">
        <f>(D28-$D$38)^2</f>
        <v>4.9878906249999598E-3</v>
      </c>
    </row>
    <row r="29" spans="1:10" x14ac:dyDescent="0.35">
      <c r="A29" s="10"/>
      <c r="D29" s="3">
        <v>9.4499999999999993</v>
      </c>
      <c r="E29" s="6">
        <f>(D29-$D$38)^2</f>
        <v>8.6289062499999582E-4</v>
      </c>
    </row>
    <row r="30" spans="1:10" x14ac:dyDescent="0.35">
      <c r="A30" s="10"/>
      <c r="B30">
        <v>10</v>
      </c>
      <c r="C30" t="s">
        <v>10</v>
      </c>
      <c r="D30" s="3">
        <v>9.35</v>
      </c>
      <c r="E30" s="6">
        <f>(D30-$D$38)^2</f>
        <v>4.9878906249999598E-3</v>
      </c>
    </row>
    <row r="31" spans="1:10" x14ac:dyDescent="0.35">
      <c r="A31" s="10"/>
      <c r="C31" t="s">
        <v>11</v>
      </c>
      <c r="D31" s="3">
        <v>9.42</v>
      </c>
      <c r="E31" s="6">
        <f>(D31-$D$38)^2</f>
        <v>3.9062499999928946E-7</v>
      </c>
    </row>
    <row r="32" spans="1:10" x14ac:dyDescent="0.35">
      <c r="A32" s="10"/>
      <c r="C32" t="s">
        <v>12</v>
      </c>
      <c r="D32" s="3">
        <v>9.4</v>
      </c>
      <c r="E32" s="6">
        <f>(D32-$D$38)^2</f>
        <v>4.2539062499995895E-4</v>
      </c>
    </row>
    <row r="33" spans="1:5" x14ac:dyDescent="0.35">
      <c r="A33" s="10"/>
      <c r="D33" s="3">
        <v>9.5</v>
      </c>
      <c r="E33" s="6">
        <f>(D33-$D$38)^2</f>
        <v>6.3003906250001015E-3</v>
      </c>
    </row>
    <row r="34" spans="1:5" x14ac:dyDescent="0.35">
      <c r="A34" s="10"/>
      <c r="D34" s="3">
        <v>9.44</v>
      </c>
      <c r="E34" s="6">
        <f>(D34-$D$38)^2</f>
        <v>3.7539062500000549E-4</v>
      </c>
    </row>
    <row r="35" spans="1:5" x14ac:dyDescent="0.35">
      <c r="A35" s="10"/>
      <c r="D35" s="3">
        <v>9.42</v>
      </c>
      <c r="E35" s="6">
        <f>(D35-$D$38)^2</f>
        <v>3.9062499999928946E-7</v>
      </c>
    </row>
    <row r="36" spans="1:5" x14ac:dyDescent="0.35">
      <c r="A36" s="10"/>
      <c r="B36">
        <v>16</v>
      </c>
      <c r="D36" s="3">
        <v>9.4499999999999993</v>
      </c>
      <c r="E36" s="6">
        <f>(D36-$D$38)^2</f>
        <v>8.6289062499999582E-4</v>
      </c>
    </row>
    <row r="37" spans="1:5" x14ac:dyDescent="0.35">
      <c r="A37" s="10"/>
      <c r="D37" s="1"/>
      <c r="E37" s="1"/>
    </row>
    <row r="38" spans="1:5" x14ac:dyDescent="0.35">
      <c r="A38" s="10"/>
      <c r="C38" t="s">
        <v>4</v>
      </c>
      <c r="D38" s="3">
        <f>AVERAGE(D21:D36)</f>
        <v>9.4206249999999994</v>
      </c>
      <c r="E38" s="3"/>
    </row>
    <row r="39" spans="1:5" x14ac:dyDescent="0.35">
      <c r="A39" s="10"/>
      <c r="C39" t="s">
        <v>5</v>
      </c>
      <c r="D39" s="5">
        <f>SQRT(AVERAGE(E21:E36)/16)</f>
        <v>9.9006293202755623E-3</v>
      </c>
      <c r="E39" s="5"/>
    </row>
    <row r="40" spans="1:5" x14ac:dyDescent="0.35">
      <c r="A40" s="10"/>
      <c r="C40" t="s">
        <v>6</v>
      </c>
      <c r="D40" s="2">
        <f>D38/7</f>
        <v>1.3458035714285714</v>
      </c>
      <c r="E40" s="2"/>
    </row>
    <row r="43" spans="1:5" x14ac:dyDescent="0.35">
      <c r="A43" s="10" t="s">
        <v>13</v>
      </c>
      <c r="D43" s="4" t="s">
        <v>1</v>
      </c>
      <c r="E43" s="4"/>
    </row>
    <row r="44" spans="1:5" x14ac:dyDescent="0.35">
      <c r="A44" s="10"/>
      <c r="D44" s="1" t="s">
        <v>7</v>
      </c>
      <c r="E44" s="1" t="s">
        <v>8</v>
      </c>
    </row>
    <row r="45" spans="1:5" x14ac:dyDescent="0.35">
      <c r="A45" s="10"/>
      <c r="D45" s="3">
        <v>3.19</v>
      </c>
      <c r="E45" s="6">
        <f>(D45-$D$55)^2</f>
        <v>9.000000000003346E-6</v>
      </c>
    </row>
    <row r="46" spans="1:5" x14ac:dyDescent="0.35">
      <c r="A46" s="10"/>
      <c r="D46" s="3">
        <v>3.25</v>
      </c>
      <c r="E46" s="6">
        <f t="shared" ref="E46:E54" si="3">(D46-$D$55)^2</f>
        <v>3.2489999999999425E-3</v>
      </c>
    </row>
    <row r="47" spans="1:5" x14ac:dyDescent="0.35">
      <c r="A47" s="10"/>
      <c r="D47" s="3">
        <v>3.22</v>
      </c>
      <c r="E47" s="6">
        <f t="shared" si="3"/>
        <v>7.2899999999998335E-4</v>
      </c>
    </row>
    <row r="48" spans="1:5" x14ac:dyDescent="0.35">
      <c r="A48" s="10"/>
      <c r="D48" s="3">
        <v>3.22</v>
      </c>
      <c r="E48" s="6">
        <f t="shared" si="3"/>
        <v>7.2899999999998335E-4</v>
      </c>
    </row>
    <row r="49" spans="1:5" x14ac:dyDescent="0.35">
      <c r="A49" s="10"/>
      <c r="D49" s="3">
        <v>3.17</v>
      </c>
      <c r="E49" s="6">
        <f t="shared" si="3"/>
        <v>5.2900000000002652E-4</v>
      </c>
    </row>
    <row r="50" spans="1:5" x14ac:dyDescent="0.35">
      <c r="A50" s="10"/>
      <c r="D50" s="3">
        <v>3.15</v>
      </c>
      <c r="E50" s="6">
        <f t="shared" si="3"/>
        <v>1.8490000000000511E-3</v>
      </c>
    </row>
    <row r="51" spans="1:5" x14ac:dyDescent="0.35">
      <c r="A51" s="10"/>
      <c r="D51" s="3">
        <v>3.19</v>
      </c>
      <c r="E51" s="6">
        <f t="shared" si="3"/>
        <v>9.000000000003346E-6</v>
      </c>
    </row>
    <row r="52" spans="1:5" x14ac:dyDescent="0.35">
      <c r="A52" s="10"/>
      <c r="D52" s="3">
        <v>3.19</v>
      </c>
      <c r="E52" s="6">
        <f t="shared" si="3"/>
        <v>9.000000000003346E-6</v>
      </c>
    </row>
    <row r="53" spans="1:5" x14ac:dyDescent="0.35">
      <c r="A53" s="10"/>
      <c r="D53" s="3">
        <v>3.16</v>
      </c>
      <c r="E53" s="6">
        <f t="shared" si="3"/>
        <v>1.089000000000024E-3</v>
      </c>
    </row>
    <row r="54" spans="1:5" x14ac:dyDescent="0.35">
      <c r="A54" s="10"/>
      <c r="D54" s="3">
        <v>3.19</v>
      </c>
      <c r="E54" s="6">
        <f t="shared" si="3"/>
        <v>9.000000000003346E-6</v>
      </c>
    </row>
    <row r="55" spans="1:5" x14ac:dyDescent="0.35">
      <c r="A55" s="10"/>
      <c r="C55" t="s">
        <v>4</v>
      </c>
      <c r="D55" s="3">
        <f>AVERAGE(D45:D54)</f>
        <v>3.1930000000000005</v>
      </c>
      <c r="E55" s="3"/>
    </row>
    <row r="56" spans="1:5" x14ac:dyDescent="0.35">
      <c r="A56" s="10"/>
      <c r="C56" t="s">
        <v>5</v>
      </c>
      <c r="D56" s="5">
        <f>SQRT(AVERAGE(E45:E54)/10)</f>
        <v>9.0609050320594499E-3</v>
      </c>
      <c r="E56" s="5"/>
    </row>
    <row r="57" spans="1:5" x14ac:dyDescent="0.35">
      <c r="A57" s="10"/>
      <c r="C57" t="s">
        <v>6</v>
      </c>
      <c r="D57" s="2">
        <f>D55/7</f>
        <v>0.45614285714285724</v>
      </c>
      <c r="E57" s="2"/>
    </row>
    <row r="60" spans="1:5" x14ac:dyDescent="0.35">
      <c r="A60" s="14" t="s">
        <v>15</v>
      </c>
      <c r="D60" s="4" t="s">
        <v>1</v>
      </c>
      <c r="E60" s="4"/>
    </row>
    <row r="61" spans="1:5" x14ac:dyDescent="0.35">
      <c r="A61" s="14"/>
      <c r="D61" s="1" t="s">
        <v>7</v>
      </c>
      <c r="E61" s="1" t="s">
        <v>8</v>
      </c>
    </row>
    <row r="62" spans="1:5" x14ac:dyDescent="0.35">
      <c r="A62" s="14"/>
      <c r="D62" s="3">
        <v>5.27</v>
      </c>
      <c r="E62" s="6">
        <f t="shared" ref="E62:E77" si="4">(D62-$D$78)^2</f>
        <v>5.3476562499997211E-4</v>
      </c>
    </row>
    <row r="63" spans="1:5" x14ac:dyDescent="0.35">
      <c r="A63" s="14"/>
      <c r="D63" s="3">
        <v>5.25</v>
      </c>
      <c r="E63" s="6">
        <f t="shared" si="4"/>
        <v>1.8597656249999112E-3</v>
      </c>
    </row>
    <row r="64" spans="1:5" x14ac:dyDescent="0.35">
      <c r="A64" s="14"/>
      <c r="D64" s="3">
        <v>5.23</v>
      </c>
      <c r="E64" s="6">
        <f t="shared" si="4"/>
        <v>3.9847656249998161E-3</v>
      </c>
    </row>
    <row r="65" spans="1:5" x14ac:dyDescent="0.35">
      <c r="A65" s="14"/>
      <c r="D65" s="3">
        <v>5.26</v>
      </c>
      <c r="E65" s="6">
        <f t="shared" si="4"/>
        <v>1.0972656249999459E-3</v>
      </c>
    </row>
    <row r="66" spans="1:5" x14ac:dyDescent="0.35">
      <c r="A66" s="14"/>
      <c r="D66" s="3">
        <v>5.33</v>
      </c>
      <c r="E66" s="6">
        <f t="shared" si="4"/>
        <v>1.3597656250000812E-3</v>
      </c>
    </row>
    <row r="67" spans="1:5" x14ac:dyDescent="0.35">
      <c r="A67" s="14"/>
      <c r="D67" s="3">
        <v>5.3</v>
      </c>
      <c r="E67" s="6">
        <f t="shared" si="4"/>
        <v>4.7265625000011722E-5</v>
      </c>
    </row>
    <row r="68" spans="1:5" x14ac:dyDescent="0.35">
      <c r="A68" s="14"/>
      <c r="D68" s="3">
        <v>5.33</v>
      </c>
      <c r="E68" s="6">
        <f t="shared" si="4"/>
        <v>1.3597656250000812E-3</v>
      </c>
    </row>
    <row r="69" spans="1:5" x14ac:dyDescent="0.35">
      <c r="A69" s="14"/>
      <c r="D69" s="3">
        <v>5.33</v>
      </c>
      <c r="E69" s="6">
        <f t="shared" si="4"/>
        <v>1.3597656250000812E-3</v>
      </c>
    </row>
    <row r="70" spans="1:5" x14ac:dyDescent="0.35">
      <c r="A70" s="14"/>
      <c r="D70" s="3">
        <v>5.29</v>
      </c>
      <c r="E70" s="6">
        <f t="shared" si="4"/>
        <v>9.7656249999933391E-6</v>
      </c>
    </row>
    <row r="71" spans="1:5" x14ac:dyDescent="0.35">
      <c r="A71" s="14"/>
      <c r="B71">
        <v>10</v>
      </c>
      <c r="D71" s="3">
        <v>5.26</v>
      </c>
      <c r="E71" s="6">
        <f t="shared" si="4"/>
        <v>1.0972656249999459E-3</v>
      </c>
    </row>
    <row r="72" spans="1:5" x14ac:dyDescent="0.35">
      <c r="A72" s="14"/>
      <c r="D72" s="3">
        <v>5.32</v>
      </c>
      <c r="E72" s="6">
        <f t="shared" si="4"/>
        <v>7.2226562500007062E-4</v>
      </c>
    </row>
    <row r="73" spans="1:5" x14ac:dyDescent="0.35">
      <c r="A73" s="14"/>
      <c r="D73" s="3">
        <v>5.28</v>
      </c>
      <c r="E73" s="6">
        <f>(D73-$D$78)^2</f>
        <v>1.7226562499996642E-4</v>
      </c>
    </row>
    <row r="74" spans="1:5" x14ac:dyDescent="0.35">
      <c r="A74" s="14"/>
      <c r="D74" s="3">
        <v>5.32</v>
      </c>
      <c r="E74" s="6">
        <f t="shared" si="4"/>
        <v>7.2226562500007062E-4</v>
      </c>
    </row>
    <row r="75" spans="1:5" x14ac:dyDescent="0.35">
      <c r="A75" s="14"/>
      <c r="D75" s="3">
        <v>5.3</v>
      </c>
      <c r="E75" s="6">
        <f t="shared" si="4"/>
        <v>4.7265625000011722E-5</v>
      </c>
    </row>
    <row r="76" spans="1:5" x14ac:dyDescent="0.35">
      <c r="A76" s="14"/>
      <c r="D76" s="3">
        <v>5.27</v>
      </c>
      <c r="E76" s="6">
        <f t="shared" si="4"/>
        <v>5.3476562499997211E-4</v>
      </c>
    </row>
    <row r="77" spans="1:5" x14ac:dyDescent="0.35">
      <c r="A77" s="14"/>
      <c r="B77">
        <v>16</v>
      </c>
      <c r="D77" s="3">
        <v>5.35</v>
      </c>
      <c r="E77" s="6">
        <f t="shared" si="4"/>
        <v>3.234765625000077E-3</v>
      </c>
    </row>
    <row r="78" spans="1:5" x14ac:dyDescent="0.35">
      <c r="A78" s="14"/>
      <c r="C78" t="s">
        <v>4</v>
      </c>
      <c r="D78" s="3">
        <f>AVERAGE(D62:D77)</f>
        <v>5.293124999999999</v>
      </c>
      <c r="E78" s="3"/>
    </row>
    <row r="79" spans="1:5" x14ac:dyDescent="0.35">
      <c r="A79" s="14"/>
      <c r="C79" t="s">
        <v>5</v>
      </c>
      <c r="D79" s="5">
        <f>SQRT(AVERAGE(E62:E77)/16)</f>
        <v>8.4186711206401237E-3</v>
      </c>
      <c r="E79" s="5"/>
    </row>
    <row r="80" spans="1:5" x14ac:dyDescent="0.35">
      <c r="A80" s="14"/>
      <c r="C80" t="s">
        <v>6</v>
      </c>
      <c r="D80" s="2">
        <f>D78/7</f>
        <v>0.75616071428571419</v>
      </c>
      <c r="E80" s="2"/>
    </row>
    <row r="83" spans="1:5" x14ac:dyDescent="0.35">
      <c r="A83" s="10" t="s">
        <v>13</v>
      </c>
      <c r="D83" s="4" t="s">
        <v>1</v>
      </c>
      <c r="E83" s="4"/>
    </row>
    <row r="84" spans="1:5" x14ac:dyDescent="0.35">
      <c r="A84" s="10"/>
      <c r="D84" s="1" t="s">
        <v>7</v>
      </c>
      <c r="E84" s="1" t="s">
        <v>8</v>
      </c>
    </row>
    <row r="85" spans="1:5" x14ac:dyDescent="0.35">
      <c r="A85" s="10"/>
      <c r="D85" s="3">
        <v>6.65</v>
      </c>
      <c r="E85" s="6">
        <f>(D85-$D$95)^2</f>
        <v>3.6000000000002732E-5</v>
      </c>
    </row>
    <row r="86" spans="1:5" x14ac:dyDescent="0.35">
      <c r="A86" s="10"/>
      <c r="D86" s="3">
        <v>6.64</v>
      </c>
      <c r="E86" s="6">
        <f t="shared" ref="E86:E94" si="5">(D86-$D$95)^2</f>
        <v>1.6000000000003581E-5</v>
      </c>
    </row>
    <row r="87" spans="1:5" x14ac:dyDescent="0.35">
      <c r="A87" s="10"/>
      <c r="D87" s="3">
        <v>6.7</v>
      </c>
      <c r="E87" s="6">
        <f t="shared" si="5"/>
        <v>3.1360000000000055E-3</v>
      </c>
    </row>
    <row r="88" spans="1:5" x14ac:dyDescent="0.35">
      <c r="A88" s="10"/>
      <c r="D88" s="3">
        <v>6.61</v>
      </c>
      <c r="E88" s="6">
        <f t="shared" si="5"/>
        <v>1.1559999999999869E-3</v>
      </c>
    </row>
    <row r="89" spans="1:5" x14ac:dyDescent="0.35">
      <c r="A89" s="10"/>
      <c r="D89" s="3">
        <v>6.69</v>
      </c>
      <c r="E89" s="6">
        <f t="shared" si="5"/>
        <v>2.1160000000000241E-3</v>
      </c>
    </row>
    <row r="90" spans="1:5" x14ac:dyDescent="0.35">
      <c r="A90" s="10"/>
      <c r="D90" s="3">
        <v>6.61</v>
      </c>
      <c r="E90" s="6">
        <f t="shared" si="5"/>
        <v>1.1559999999999869E-3</v>
      </c>
    </row>
    <row r="91" spans="1:5" x14ac:dyDescent="0.35">
      <c r="A91" s="10"/>
      <c r="D91" s="3">
        <v>6.66</v>
      </c>
      <c r="E91" s="6">
        <f t="shared" si="5"/>
        <v>2.5600000000000048E-4</v>
      </c>
    </row>
    <row r="92" spans="1:5" x14ac:dyDescent="0.35">
      <c r="A92" s="10"/>
      <c r="D92" s="3">
        <v>6.62</v>
      </c>
      <c r="E92" s="6">
        <f t="shared" si="5"/>
        <v>5.7600000000000099E-4</v>
      </c>
    </row>
    <row r="93" spans="1:5" x14ac:dyDescent="0.35">
      <c r="A93" s="10"/>
      <c r="D93" s="3">
        <v>6.61</v>
      </c>
      <c r="E93" s="6">
        <f t="shared" si="5"/>
        <v>1.1559999999999869E-3</v>
      </c>
    </row>
    <row r="94" spans="1:5" x14ac:dyDescent="0.35">
      <c r="A94" s="10"/>
      <c r="D94" s="3">
        <v>6.65</v>
      </c>
      <c r="E94" s="6">
        <f t="shared" si="5"/>
        <v>3.6000000000002732E-5</v>
      </c>
    </row>
    <row r="95" spans="1:5" x14ac:dyDescent="0.35">
      <c r="A95" s="10"/>
      <c r="C95" t="s">
        <v>4</v>
      </c>
      <c r="D95" s="3">
        <f>AVERAGE(D85:D94)</f>
        <v>6.6440000000000001</v>
      </c>
      <c r="E95" s="3"/>
    </row>
    <row r="96" spans="1:5" x14ac:dyDescent="0.35">
      <c r="A96" s="10"/>
      <c r="C96" t="s">
        <v>5</v>
      </c>
      <c r="D96" s="5">
        <f>SQRT(AVERAGE(E85:E94)/10)</f>
        <v>9.8183501669068616E-3</v>
      </c>
      <c r="E96" s="5"/>
    </row>
    <row r="97" spans="1:5" x14ac:dyDescent="0.35">
      <c r="A97" s="10"/>
      <c r="C97" t="s">
        <v>6</v>
      </c>
      <c r="D97" s="2">
        <f>D95/7</f>
        <v>0.94914285714285718</v>
      </c>
      <c r="E97" s="2"/>
    </row>
  </sheetData>
  <mergeCells count="13">
    <mergeCell ref="A83:A97"/>
    <mergeCell ref="D83:E83"/>
    <mergeCell ref="A19:A40"/>
    <mergeCell ref="A4:A17"/>
    <mergeCell ref="D43:E43"/>
    <mergeCell ref="D60:E60"/>
    <mergeCell ref="A60:A80"/>
    <mergeCell ref="A43:A57"/>
    <mergeCell ref="D2:E2"/>
    <mergeCell ref="F2:G2"/>
    <mergeCell ref="H2:I2"/>
    <mergeCell ref="J2:K2"/>
    <mergeCell ref="D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2021-11-11T10:30:34Z</dcterms:created>
  <dcterms:modified xsi:type="dcterms:W3CDTF">2021-11-11T12:55:31Z</dcterms:modified>
</cp:coreProperties>
</file>